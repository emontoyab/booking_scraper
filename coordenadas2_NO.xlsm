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Esteban\Web Scraping\booking_scraper\"/>
    </mc:Choice>
  </mc:AlternateContent>
  <xr:revisionPtr revIDLastSave="0" documentId="13_ncr:1_{6F1F039B-C80D-4612-9FDB-BB8B5571073D}" xr6:coauthVersionLast="47" xr6:coauthVersionMax="47" xr10:uidLastSave="{00000000-0000-0000-0000-000000000000}"/>
  <bookViews>
    <workbookView xWindow="-120" yWindow="-120" windowWidth="20730" windowHeight="11160" xr2:uid="{50C19DAB-0197-4D0C-BECC-9AA306D619D0}"/>
  </bookViews>
  <sheets>
    <sheet name="Hoja1" sheetId="1" r:id="rId1"/>
    <sheet name="Hoja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" l="1" a="1"/>
  <c r="G2" i="1" s="1"/>
  <c r="F10" i="1"/>
  <c r="F12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<sst xmlns="http://schemas.openxmlformats.org/spreadsheetml/2006/main" count="353" uniqueCount="179">
  <si>
    <t>Código</t>
  </si>
  <si>
    <t>Subregión</t>
  </si>
  <si>
    <t>Municipio</t>
  </si>
  <si>
    <t>Bajo Cauca</t>
  </si>
  <si>
    <t>Magdalena Medio</t>
  </si>
  <si>
    <t>Nordeste</t>
  </si>
  <si>
    <t>Norte</t>
  </si>
  <si>
    <t>Occidente</t>
  </si>
  <si>
    <t>Oriente</t>
  </si>
  <si>
    <t>Suroeste</t>
  </si>
  <si>
    <t>Urabá</t>
  </si>
  <si>
    <t>Valle de Aburrá</t>
  </si>
  <si>
    <t>Latitud</t>
  </si>
  <si>
    <t>Longitud</t>
  </si>
  <si>
    <t>MEDELLIN</t>
  </si>
  <si>
    <t>AMALFI ANTIOQUIA COLOMBIA</t>
  </si>
  <si>
    <t>APARTADO</t>
  </si>
  <si>
    <t>ARBOLETES</t>
  </si>
  <si>
    <t>BARBOSA</t>
  </si>
  <si>
    <t>CALDAS</t>
  </si>
  <si>
    <t>CAUCASIA</t>
  </si>
  <si>
    <t>COCORNA</t>
  </si>
  <si>
    <t>ENVIGADO</t>
  </si>
  <si>
    <t>GIRARDOTA</t>
  </si>
  <si>
    <t>GUATAPE</t>
  </si>
  <si>
    <t>ITAGUI</t>
  </si>
  <si>
    <t>LA CEJA</t>
  </si>
  <si>
    <t>LA ESTRELLA</t>
  </si>
  <si>
    <t>LA PINTADA</t>
  </si>
  <si>
    <t>LIBORINA</t>
  </si>
  <si>
    <t>MACEO</t>
  </si>
  <si>
    <t>MARINILLA</t>
  </si>
  <si>
    <t>NECOCLI</t>
  </si>
  <si>
    <t>OLAYA</t>
  </si>
  <si>
    <t>EL PEÑOL</t>
  </si>
  <si>
    <t>PUERTO TRIUNFO</t>
  </si>
  <si>
    <t>SABANETA</t>
  </si>
  <si>
    <t>SAN LUIS</t>
  </si>
  <si>
    <t>SAN PEDRO</t>
  </si>
  <si>
    <t>SAN ROQUE</t>
  </si>
  <si>
    <t>SANTA ROSA DE OSOS</t>
  </si>
  <si>
    <t>SOPETRAN</t>
  </si>
  <si>
    <t>TURBO</t>
  </si>
  <si>
    <t>YOLOMBO</t>
  </si>
  <si>
    <t>AMALFI</t>
  </si>
  <si>
    <t>ANTIOQUIA</t>
  </si>
  <si>
    <t>COLOMBIA</t>
  </si>
  <si>
    <t>SANTAFE</t>
  </si>
  <si>
    <t>DE</t>
  </si>
  <si>
    <t>BELLO</t>
  </si>
  <si>
    <t>CAROLINA</t>
  </si>
  <si>
    <t>DEL</t>
  </si>
  <si>
    <t>PRINCIPE</t>
  </si>
  <si>
    <t>CISNEROS</t>
  </si>
  <si>
    <t>CONCEPCION</t>
  </si>
  <si>
    <t>COPACABANA</t>
  </si>
  <si>
    <t>FREDONIA</t>
  </si>
  <si>
    <t>GOMEZ</t>
  </si>
  <si>
    <t>PLATA</t>
  </si>
  <si>
    <t>JARDIN</t>
  </si>
  <si>
    <t>JERICÓ</t>
  </si>
  <si>
    <t>LA</t>
  </si>
  <si>
    <t>CEJA</t>
  </si>
  <si>
    <t>ESTRELLA</t>
  </si>
  <si>
    <t>PINTADA</t>
  </si>
  <si>
    <t>EL</t>
  </si>
  <si>
    <t>PEÑOL</t>
  </si>
  <si>
    <t>PUERTO</t>
  </si>
  <si>
    <t>BERRIO</t>
  </si>
  <si>
    <t>TRIUNFO</t>
  </si>
  <si>
    <t>RIONEGRO</t>
  </si>
  <si>
    <t>SAN</t>
  </si>
  <si>
    <t>CARLOS</t>
  </si>
  <si>
    <t>JERONIMO</t>
  </si>
  <si>
    <t>JUAN</t>
  </si>
  <si>
    <t>URABA</t>
  </si>
  <si>
    <t>LUIS</t>
  </si>
  <si>
    <t>PEDRO</t>
  </si>
  <si>
    <t>RAFAEL</t>
  </si>
  <si>
    <t>ROQUE</t>
  </si>
  <si>
    <t>SANTA</t>
  </si>
  <si>
    <t>ROSA</t>
  </si>
  <si>
    <t>OSOS</t>
  </si>
  <si>
    <t>VALPARAISO</t>
  </si>
  <si>
    <t>VENECIA</t>
  </si>
  <si>
    <t>CÁCERES</t>
  </si>
  <si>
    <t>EL BAGRE</t>
  </si>
  <si>
    <t>NECHÍ</t>
  </si>
  <si>
    <t>TARAZÁ</t>
  </si>
  <si>
    <t>ZARAGOZA</t>
  </si>
  <si>
    <t>CARACOLÍ</t>
  </si>
  <si>
    <t>PUERTO BERRÍO</t>
  </si>
  <si>
    <t>PUERTO NARE</t>
  </si>
  <si>
    <t>YONDÓ</t>
  </si>
  <si>
    <t>ANORÍ</t>
  </si>
  <si>
    <t>REMEDIOS</t>
  </si>
  <si>
    <t>SANTO DOMINGO</t>
  </si>
  <si>
    <t>SEGOVIA</t>
  </si>
  <si>
    <t>VEGACHÍ</t>
  </si>
  <si>
    <t>YALÍ</t>
  </si>
  <si>
    <t>YOLOMBÓ</t>
  </si>
  <si>
    <t>ANGOSTURA</t>
  </si>
  <si>
    <t>BELMIRA</t>
  </si>
  <si>
    <t>BRICEÑO</t>
  </si>
  <si>
    <t>CAMPAMENTO</t>
  </si>
  <si>
    <t>DON MATÍAS</t>
  </si>
  <si>
    <t>ENTRERRIOS</t>
  </si>
  <si>
    <t>GÓMEZ PLATA</t>
  </si>
  <si>
    <t>GUADALUPE</t>
  </si>
  <si>
    <t>ITUANGO</t>
  </si>
  <si>
    <t>SAN ANDRÉS DE CUERQUÍA</t>
  </si>
  <si>
    <t>SAN JOSÉ DE LA MONTAÑA</t>
  </si>
  <si>
    <t>SANTAFÉ DE ANTIOQUIA</t>
  </si>
  <si>
    <t>TOLEDO</t>
  </si>
  <si>
    <t>VALDIVIA</t>
  </si>
  <si>
    <t>YARUMAL</t>
  </si>
  <si>
    <t>ABRIAQUÍ</t>
  </si>
  <si>
    <t>ANZA</t>
  </si>
  <si>
    <t>ARMENIA</t>
  </si>
  <si>
    <t>BURITICÁ</t>
  </si>
  <si>
    <t>CAICEDO</t>
  </si>
  <si>
    <t>CAÑASGORDAS</t>
  </si>
  <si>
    <t>DABEIBA</t>
  </si>
  <si>
    <t>EBÉJICO</t>
  </si>
  <si>
    <t>FRONTINO</t>
  </si>
  <si>
    <t>GIRALDO</t>
  </si>
  <si>
    <t>HELICONIA</t>
  </si>
  <si>
    <t>PEQUE</t>
  </si>
  <si>
    <t>SABANALARGA</t>
  </si>
  <si>
    <t>SAN JERÓNIMO</t>
  </si>
  <si>
    <t>SOPETRÁN</t>
  </si>
  <si>
    <t>URAMITA</t>
  </si>
  <si>
    <t>ABEJORRAL</t>
  </si>
  <si>
    <t>ALEJANDRÍA</t>
  </si>
  <si>
    <t>ARGELIA</t>
  </si>
  <si>
    <t>COCORNÁ</t>
  </si>
  <si>
    <t>CONCEPCIÓN</t>
  </si>
  <si>
    <t>EL CARMEN DE VIBORAL</t>
  </si>
  <si>
    <t>EL RETIRO</t>
  </si>
  <si>
    <t>EL SANTUARIO</t>
  </si>
  <si>
    <t>GRANADA</t>
  </si>
  <si>
    <t>GUARNE</t>
  </si>
  <si>
    <t>GUATAPÉ</t>
  </si>
  <si>
    <t>LA UNIÓN</t>
  </si>
  <si>
    <t>NARIÑO</t>
  </si>
  <si>
    <t>SAN CARLOS</t>
  </si>
  <si>
    <t>SAN FRANCISCO</t>
  </si>
  <si>
    <t>SAN RAFAEL</t>
  </si>
  <si>
    <t>SAN VICENTE</t>
  </si>
  <si>
    <t>SONSON</t>
  </si>
  <si>
    <t>AMAGÁ</t>
  </si>
  <si>
    <t>ANDES</t>
  </si>
  <si>
    <t>ANGELÓPOLIS</t>
  </si>
  <si>
    <t>BETANIA</t>
  </si>
  <si>
    <t>BETULIA</t>
  </si>
  <si>
    <t>CARAMANTA</t>
  </si>
  <si>
    <t>CIUDAD BOLÍVAR</t>
  </si>
  <si>
    <t>CONCORDIA</t>
  </si>
  <si>
    <t>HISPANIA</t>
  </si>
  <si>
    <t>JARDÍN</t>
  </si>
  <si>
    <t>MONTEBELLO</t>
  </si>
  <si>
    <t>PUEBLORRICO</t>
  </si>
  <si>
    <t>SALGAR</t>
  </si>
  <si>
    <t>SANTA BÁRBARA</t>
  </si>
  <si>
    <t>TÁMESIS</t>
  </si>
  <si>
    <t>TARSO</t>
  </si>
  <si>
    <t>TITIRIBÍ</t>
  </si>
  <si>
    <t>URRAO</t>
  </si>
  <si>
    <t>VALPARAÍSO</t>
  </si>
  <si>
    <t>APARTADÓ</t>
  </si>
  <si>
    <t>CAREPA</t>
  </si>
  <si>
    <t>CHIGORODÓ</t>
  </si>
  <si>
    <t>MURINDÓ</t>
  </si>
  <si>
    <t>MUTATÁ</t>
  </si>
  <si>
    <t>NECOCLÍ</t>
  </si>
  <si>
    <t>SAN JUAN DE URABÁ</t>
  </si>
  <si>
    <t>SAN PEDRO DE URABA</t>
  </si>
  <si>
    <t>VIGÍA DEL FUERTE</t>
  </si>
  <si>
    <t>MEDELLÍN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</si>
</sst>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22222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0F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" fillId="0" borderId="1" xfId="0" applyFont="1" applyBorder="1"/>
    <xf numFmtId="0" fontId="0" fillId="0" borderId="1" xfId="0" applyBorder="1"/>
    <xf numFmtId="0" fontId="2" fillId="2" borderId="1" xfId="0" applyFont="1" applyFill="1" applyBorder="1" applyAlignment="1">
      <alignment horizontal="left" vertical="center" indent="2"/>
    </xf>
    <xf numFmtId="0" fontId="3" fillId="0" borderId="1" xfId="0" applyFont="1" applyBorder="1" applyAlignment="1">
      <alignment horizontal="left" vertical="center" indent="2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431FC3-1360-4AD4-979E-D69BD9467F55}">
  <sheetPr codeName="Hoja1"/>
  <dimension ref="A1:L126"/>
  <sheetViews>
    <sheetView tabSelected="1" workbookViewId="0">
      <selection activeCell="G3" sqref="G3"/>
    </sheetView>
  </sheetViews>
  <sheetFormatPr baseColWidth="10" defaultRowHeight="15" x14ac:dyDescent="0.25"/>
  <cols>
    <col min="1" max="1" width="11.42578125" style="1"/>
    <col min="2" max="2" width="21.7109375" bestFit="1" customWidth="1"/>
    <col min="3" max="3" width="26.85546875" bestFit="1" customWidth="1"/>
    <col min="4" max="4" width="11.85546875" bestFit="1" customWidth="1"/>
    <col min="7" max="7" width="23.42578125" bestFit="1" customWidth="1"/>
  </cols>
  <sheetData>
    <row r="1" spans="1:11" x14ac:dyDescent="0.25">
      <c r="A1" s="3" t="s">
        <v>0</v>
      </c>
      <c r="B1" s="4" t="s">
        <v>1</v>
      </c>
      <c r="C1" s="4" t="s">
        <v>2</v>
      </c>
      <c r="D1" s="4" t="s">
        <v>12</v>
      </c>
      <c r="E1" s="4" t="s">
        <v>13</v>
      </c>
    </row>
    <row r="2" spans="1:11" x14ac:dyDescent="0.25">
      <c r="A2" s="2">
        <v>1</v>
      </c>
      <c r="B2" s="6" t="s">
        <v>3</v>
      </c>
      <c r="C2" s="7" t="s">
        <v>85</v>
      </c>
      <c r="D2" s="5">
        <v>7.57831474335</v>
      </c>
      <c r="E2" s="5">
        <v>-75.352357315299997</v>
      </c>
      <c r="G2" t="e" cm="1">
        <f t="array" aca="1" ref="G2" ca="1">QUITARACENTOS(C2)</f>
        <v>#NAME?</v>
      </c>
      <c r="I2" t="s">
        <v>14</v>
      </c>
    </row>
    <row r="3" spans="1:11" x14ac:dyDescent="0.25">
      <c r="A3" s="2">
        <v>1</v>
      </c>
      <c r="B3" s="6" t="s">
        <v>3</v>
      </c>
      <c r="C3" s="7" t="s">
        <v>20</v>
      </c>
      <c r="D3" s="5">
        <v>7.97734097812</v>
      </c>
      <c r="E3" s="5">
        <v>-75.198278464500007</v>
      </c>
      <c r="I3" t="s">
        <v>44</v>
      </c>
      <c r="J3" t="s">
        <v>45</v>
      </c>
      <c r="K3" t="s">
        <v>46</v>
      </c>
    </row>
    <row r="4" spans="1:11" x14ac:dyDescent="0.25">
      <c r="A4" s="2">
        <v>1</v>
      </c>
      <c r="B4" s="6" t="s">
        <v>3</v>
      </c>
      <c r="C4" s="7" t="s">
        <v>86</v>
      </c>
      <c r="D4" s="5">
        <v>7.5975218855</v>
      </c>
      <c r="E4" s="5">
        <v>-74.799097011900002</v>
      </c>
      <c r="I4" t="s">
        <v>47</v>
      </c>
      <c r="J4" t="s">
        <v>48</v>
      </c>
      <c r="K4" t="s">
        <v>45</v>
      </c>
    </row>
    <row r="5" spans="1:11" x14ac:dyDescent="0.25">
      <c r="A5" s="2">
        <v>1</v>
      </c>
      <c r="B5" s="6" t="s">
        <v>3</v>
      </c>
      <c r="C5" s="7" t="s">
        <v>87</v>
      </c>
      <c r="D5" s="5">
        <v>5.6107772219500003</v>
      </c>
      <c r="E5" s="5">
        <v>-75.176261771100002</v>
      </c>
      <c r="I5" t="s">
        <v>16</v>
      </c>
    </row>
    <row r="6" spans="1:11" x14ac:dyDescent="0.25">
      <c r="A6" s="2">
        <v>1</v>
      </c>
      <c r="B6" s="6" t="s">
        <v>3</v>
      </c>
      <c r="C6" s="7" t="s">
        <v>88</v>
      </c>
      <c r="D6" s="5">
        <v>7.5801194398399998</v>
      </c>
      <c r="E6" s="5">
        <v>-75.401409211800001</v>
      </c>
      <c r="I6" t="s">
        <v>17</v>
      </c>
    </row>
    <row r="7" spans="1:11" x14ac:dyDescent="0.25">
      <c r="A7" s="2">
        <v>1</v>
      </c>
      <c r="B7" s="6" t="s">
        <v>3</v>
      </c>
      <c r="C7" s="7" t="s">
        <v>89</v>
      </c>
      <c r="D7" s="5">
        <v>7.4885824426200003</v>
      </c>
      <c r="E7" s="5">
        <v>-74.867072887199996</v>
      </c>
      <c r="I7" t="s">
        <v>18</v>
      </c>
    </row>
    <row r="8" spans="1:11" x14ac:dyDescent="0.25">
      <c r="A8" s="2">
        <v>2</v>
      </c>
      <c r="B8" s="6" t="s">
        <v>4</v>
      </c>
      <c r="C8" s="7" t="s">
        <v>90</v>
      </c>
      <c r="D8" s="5">
        <v>6.4098517582500003</v>
      </c>
      <c r="E8" s="5">
        <v>-74.757454287900003</v>
      </c>
      <c r="I8" t="s">
        <v>49</v>
      </c>
      <c r="J8" t="s">
        <v>45</v>
      </c>
      <c r="K8" t="s">
        <v>46</v>
      </c>
    </row>
    <row r="9" spans="1:11" x14ac:dyDescent="0.25">
      <c r="A9" s="2">
        <v>2</v>
      </c>
      <c r="B9" s="6" t="s">
        <v>4</v>
      </c>
      <c r="C9" s="7" t="s">
        <v>30</v>
      </c>
      <c r="D9" s="5">
        <v>6.5521146806599999</v>
      </c>
      <c r="E9" s="5">
        <v>-74.787157116200007</v>
      </c>
      <c r="I9" t="s">
        <v>19</v>
      </c>
    </row>
    <row r="10" spans="1:11" x14ac:dyDescent="0.25">
      <c r="A10" s="2">
        <v>2</v>
      </c>
      <c r="B10" s="6" t="s">
        <v>4</v>
      </c>
      <c r="C10" s="7" t="s">
        <v>91</v>
      </c>
      <c r="D10" s="5">
        <v>6.4870392100699998</v>
      </c>
      <c r="E10" s="5">
        <v>-74.409945978600007</v>
      </c>
      <c r="F10" t="str">
        <f>VLOOKUP(C10,I10:I57,1,TRUE)</f>
        <v>PUERTO</v>
      </c>
      <c r="I10" t="s">
        <v>50</v>
      </c>
      <c r="J10" t="s">
        <v>51</v>
      </c>
      <c r="K10" t="s">
        <v>52</v>
      </c>
    </row>
    <row r="11" spans="1:11" x14ac:dyDescent="0.25">
      <c r="A11" s="2">
        <v>2</v>
      </c>
      <c r="B11" s="6" t="s">
        <v>4</v>
      </c>
      <c r="C11" s="7" t="s">
        <v>92</v>
      </c>
      <c r="D11" s="5">
        <v>6.1860238230300002</v>
      </c>
      <c r="E11" s="5">
        <v>-74.583011605600007</v>
      </c>
      <c r="I11" t="s">
        <v>20</v>
      </c>
    </row>
    <row r="12" spans="1:11" x14ac:dyDescent="0.25">
      <c r="A12" s="2">
        <v>2</v>
      </c>
      <c r="B12" s="6" t="s">
        <v>4</v>
      </c>
      <c r="C12" s="7" t="s">
        <v>35</v>
      </c>
      <c r="D12" s="5">
        <v>5.8712071968900004</v>
      </c>
      <c r="E12" s="5">
        <v>-74.641265638199997</v>
      </c>
      <c r="F12" t="str">
        <f>VLOOKUP(C12,I12:I59,1,TRUE)</f>
        <v>PUERTO</v>
      </c>
      <c r="I12" t="s">
        <v>53</v>
      </c>
      <c r="J12" t="s">
        <v>45</v>
      </c>
      <c r="K12" t="s">
        <v>46</v>
      </c>
    </row>
    <row r="13" spans="1:11" x14ac:dyDescent="0.25">
      <c r="A13" s="2">
        <v>2</v>
      </c>
      <c r="B13" s="6" t="s">
        <v>4</v>
      </c>
      <c r="C13" s="7" t="s">
        <v>93</v>
      </c>
      <c r="D13" s="5">
        <v>7.0039414316900004</v>
      </c>
      <c r="E13" s="5">
        <v>-73.912456785100005</v>
      </c>
      <c r="I13" t="s">
        <v>21</v>
      </c>
    </row>
    <row r="14" spans="1:11" x14ac:dyDescent="0.25">
      <c r="A14" s="2">
        <v>3</v>
      </c>
      <c r="B14" s="6" t="s">
        <v>5</v>
      </c>
      <c r="C14" s="7" t="s">
        <v>44</v>
      </c>
      <c r="D14" s="5">
        <v>6.90967360478</v>
      </c>
      <c r="E14" s="5">
        <v>-75.077474923899999</v>
      </c>
      <c r="F14" t="s">
        <v>15</v>
      </c>
      <c r="I14" t="s">
        <v>54</v>
      </c>
      <c r="J14" t="s">
        <v>45</v>
      </c>
      <c r="K14" t="s">
        <v>46</v>
      </c>
    </row>
    <row r="15" spans="1:11" x14ac:dyDescent="0.25">
      <c r="A15" s="2">
        <v>3</v>
      </c>
      <c r="B15" s="6" t="s">
        <v>5</v>
      </c>
      <c r="C15" s="7" t="s">
        <v>94</v>
      </c>
      <c r="D15" s="5">
        <v>7.0747100413700004</v>
      </c>
      <c r="E15" s="5">
        <v>-75.148344960900005</v>
      </c>
      <c r="F15" t="e">
        <f>VLOOKUP(C15,I15:I62,1,TRUE)</f>
        <v>#N/A</v>
      </c>
      <c r="I15" t="s">
        <v>55</v>
      </c>
      <c r="J15" t="s">
        <v>45</v>
      </c>
      <c r="K15" t="s">
        <v>46</v>
      </c>
    </row>
    <row r="16" spans="1:11" x14ac:dyDescent="0.25">
      <c r="A16" s="2">
        <v>3</v>
      </c>
      <c r="B16" s="6" t="s">
        <v>5</v>
      </c>
      <c r="C16" s="7" t="s">
        <v>53</v>
      </c>
      <c r="D16" s="5">
        <v>6.5377630482600004</v>
      </c>
      <c r="E16" s="5">
        <v>-75.087205134100003</v>
      </c>
      <c r="F16" t="e">
        <f>VLOOKUP(C16,I16:I63,1,TRUE)</f>
        <v>#N/A</v>
      </c>
      <c r="I16" t="s">
        <v>22</v>
      </c>
    </row>
    <row r="17" spans="1:11" x14ac:dyDescent="0.25">
      <c r="A17" s="2">
        <v>3</v>
      </c>
      <c r="B17" s="6" t="s">
        <v>5</v>
      </c>
      <c r="C17" s="7" t="s">
        <v>95</v>
      </c>
      <c r="D17" s="5">
        <v>7.0293907662099997</v>
      </c>
      <c r="E17" s="5">
        <v>-74.698047163599995</v>
      </c>
      <c r="F17" t="str">
        <f>VLOOKUP(C17,I17:I64,1,TRUE)</f>
        <v>PUERTO</v>
      </c>
      <c r="I17" t="s">
        <v>56</v>
      </c>
      <c r="J17" t="s">
        <v>45</v>
      </c>
      <c r="K17" t="s">
        <v>46</v>
      </c>
    </row>
    <row r="18" spans="1:11" x14ac:dyDescent="0.25">
      <c r="A18" s="2">
        <v>3</v>
      </c>
      <c r="B18" s="6" t="s">
        <v>5</v>
      </c>
      <c r="C18" s="7" t="s">
        <v>39</v>
      </c>
      <c r="D18" s="5">
        <v>6.4859404704400001</v>
      </c>
      <c r="E18" s="5">
        <v>-75.019166148400004</v>
      </c>
      <c r="F18" t="str">
        <f>VLOOKUP(C18,I18:I65,1,TRUE)</f>
        <v>SAN</v>
      </c>
      <c r="I18" t="s">
        <v>23</v>
      </c>
    </row>
    <row r="19" spans="1:11" x14ac:dyDescent="0.25">
      <c r="A19" s="2">
        <v>3</v>
      </c>
      <c r="B19" s="6" t="s">
        <v>5</v>
      </c>
      <c r="C19" s="7" t="s">
        <v>96</v>
      </c>
      <c r="D19" s="5">
        <v>6.13685720436</v>
      </c>
      <c r="E19" s="5">
        <v>-75.265467980400004</v>
      </c>
      <c r="F19" t="str">
        <f>VLOOKUP(C19,I19:I66,1,TRUE)</f>
        <v>SANTA</v>
      </c>
      <c r="I19" t="s">
        <v>57</v>
      </c>
      <c r="J19" t="s">
        <v>58</v>
      </c>
    </row>
    <row r="20" spans="1:11" x14ac:dyDescent="0.25">
      <c r="A20" s="2">
        <v>3</v>
      </c>
      <c r="B20" s="6" t="s">
        <v>5</v>
      </c>
      <c r="C20" s="7" t="s">
        <v>97</v>
      </c>
      <c r="D20" s="5">
        <v>7.07963898594</v>
      </c>
      <c r="E20" s="5">
        <v>-74.701588721999997</v>
      </c>
      <c r="F20" t="str">
        <f>VLOOKUP(C20,I20:I67,1,TRUE)</f>
        <v>SANTA</v>
      </c>
      <c r="I20" t="s">
        <v>24</v>
      </c>
    </row>
    <row r="21" spans="1:11" x14ac:dyDescent="0.25">
      <c r="A21" s="2">
        <v>3</v>
      </c>
      <c r="B21" s="6" t="s">
        <v>5</v>
      </c>
      <c r="C21" s="7" t="s">
        <v>98</v>
      </c>
      <c r="D21" s="5">
        <v>6.7734502084899999</v>
      </c>
      <c r="E21" s="5">
        <v>-74.798726873899994</v>
      </c>
      <c r="F21" t="str">
        <f>VLOOKUP(C21,I21:I68,1,TRUE)</f>
        <v>VALPARAISO</v>
      </c>
      <c r="I21" t="s">
        <v>25</v>
      </c>
    </row>
    <row r="22" spans="1:11" x14ac:dyDescent="0.25">
      <c r="A22" s="2">
        <v>3</v>
      </c>
      <c r="B22" s="6" t="s">
        <v>5</v>
      </c>
      <c r="C22" s="7" t="s">
        <v>99</v>
      </c>
      <c r="D22" s="5">
        <v>6.67657240531</v>
      </c>
      <c r="E22" s="5">
        <v>-74.840053192200003</v>
      </c>
      <c r="F22" t="str">
        <f>VLOOKUP(C22,I22:I69,1,TRUE)</f>
        <v>VENECIA</v>
      </c>
      <c r="I22" t="s">
        <v>59</v>
      </c>
      <c r="J22" t="s">
        <v>45</v>
      </c>
      <c r="K22" t="s">
        <v>46</v>
      </c>
    </row>
    <row r="23" spans="1:11" x14ac:dyDescent="0.25">
      <c r="A23" s="2">
        <v>3</v>
      </c>
      <c r="B23" s="6" t="s">
        <v>5</v>
      </c>
      <c r="C23" s="7" t="s">
        <v>100</v>
      </c>
      <c r="D23" s="5">
        <v>6.5945958882699998</v>
      </c>
      <c r="E23" s="5">
        <v>-75.013347950899998</v>
      </c>
      <c r="F23" t="str">
        <f>VLOOKUP(C23,I23:I70,1,TRUE)</f>
        <v>YOLOMBO</v>
      </c>
      <c r="I23" t="s">
        <v>60</v>
      </c>
      <c r="J23" t="s">
        <v>45</v>
      </c>
      <c r="K23" t="s">
        <v>46</v>
      </c>
    </row>
    <row r="24" spans="1:11" x14ac:dyDescent="0.25">
      <c r="A24" s="2">
        <v>4</v>
      </c>
      <c r="B24" s="6" t="s">
        <v>6</v>
      </c>
      <c r="C24" s="7" t="s">
        <v>101</v>
      </c>
      <c r="D24" s="5">
        <v>6.8851844148400003</v>
      </c>
      <c r="E24" s="5">
        <v>-75.335109118600002</v>
      </c>
      <c r="F24" t="e">
        <f>VLOOKUP(C24,I24:I71,1,TRUE)</f>
        <v>#N/A</v>
      </c>
      <c r="I24" t="s">
        <v>61</v>
      </c>
      <c r="J24" t="s">
        <v>62</v>
      </c>
    </row>
    <row r="25" spans="1:11" x14ac:dyDescent="0.25">
      <c r="A25" s="2">
        <v>4</v>
      </c>
      <c r="B25" s="6" t="s">
        <v>6</v>
      </c>
      <c r="C25" s="7" t="s">
        <v>102</v>
      </c>
      <c r="D25" s="5">
        <v>6.3340655829200001</v>
      </c>
      <c r="E25" s="5">
        <v>-75.554667305300001</v>
      </c>
      <c r="F25" t="e">
        <f>VLOOKUP(C25,I25:I72,1,TRUE)</f>
        <v>#N/A</v>
      </c>
      <c r="I25" t="s">
        <v>61</v>
      </c>
      <c r="J25" t="s">
        <v>63</v>
      </c>
    </row>
    <row r="26" spans="1:11" x14ac:dyDescent="0.25">
      <c r="A26" s="2">
        <v>4</v>
      </c>
      <c r="B26" s="6" t="s">
        <v>6</v>
      </c>
      <c r="C26" s="7" t="s">
        <v>103</v>
      </c>
      <c r="D26" s="5">
        <v>7.1128055140199997</v>
      </c>
      <c r="E26" s="5">
        <v>-75.550356304000005</v>
      </c>
      <c r="F26" t="e">
        <f>VLOOKUP(C26,I26:I73,1,TRUE)</f>
        <v>#N/A</v>
      </c>
      <c r="I26" t="s">
        <v>61</v>
      </c>
      <c r="J26" t="s">
        <v>64</v>
      </c>
    </row>
    <row r="27" spans="1:11" x14ac:dyDescent="0.25">
      <c r="A27" s="2">
        <v>4</v>
      </c>
      <c r="B27" s="6" t="s">
        <v>6</v>
      </c>
      <c r="C27" s="7" t="s">
        <v>104</v>
      </c>
      <c r="D27" s="5">
        <v>6.9797764828900002</v>
      </c>
      <c r="E27" s="5">
        <v>-75.298084783999997</v>
      </c>
      <c r="F27" t="e">
        <f>VLOOKUP(C27,I27:I74,1,TRUE)</f>
        <v>#N/A</v>
      </c>
      <c r="I27" t="s">
        <v>29</v>
      </c>
    </row>
    <row r="28" spans="1:11" x14ac:dyDescent="0.25">
      <c r="A28" s="2">
        <v>4</v>
      </c>
      <c r="B28" s="6" t="s">
        <v>6</v>
      </c>
      <c r="C28" s="7" t="s">
        <v>50</v>
      </c>
      <c r="D28" s="5">
        <v>7.7551154821899999</v>
      </c>
      <c r="E28" s="5">
        <v>-76.653210744000006</v>
      </c>
      <c r="F28" t="e">
        <f>VLOOKUP(C28,I28:I75,1,TRUE)</f>
        <v>#N/A</v>
      </c>
      <c r="I28" t="s">
        <v>30</v>
      </c>
    </row>
    <row r="29" spans="1:11" x14ac:dyDescent="0.25">
      <c r="A29" s="2">
        <v>4</v>
      </c>
      <c r="B29" s="6" t="s">
        <v>6</v>
      </c>
      <c r="C29" s="7" t="s">
        <v>105</v>
      </c>
      <c r="D29" s="5">
        <v>6.4856072389900001</v>
      </c>
      <c r="E29" s="5">
        <v>-75.392675128799993</v>
      </c>
      <c r="F29" t="e">
        <f>VLOOKUP(C29,I29:I76,1,TRUE)</f>
        <v>#N/A</v>
      </c>
      <c r="I29" t="s">
        <v>31</v>
      </c>
    </row>
    <row r="30" spans="1:11" x14ac:dyDescent="0.25">
      <c r="A30" s="2">
        <v>4</v>
      </c>
      <c r="B30" s="6" t="s">
        <v>6</v>
      </c>
      <c r="C30" s="7" t="s">
        <v>106</v>
      </c>
      <c r="D30" s="5">
        <v>7.5975218855</v>
      </c>
      <c r="E30" s="5">
        <v>-74.799097011900002</v>
      </c>
      <c r="F30" t="str">
        <f>VLOOKUP(C30,I30:I77,1,TRUE)</f>
        <v>EL</v>
      </c>
      <c r="I30" t="s">
        <v>32</v>
      </c>
    </row>
    <row r="31" spans="1:11" x14ac:dyDescent="0.25">
      <c r="A31" s="2">
        <v>4</v>
      </c>
      <c r="B31" s="6" t="s">
        <v>6</v>
      </c>
      <c r="C31" s="7" t="s">
        <v>107</v>
      </c>
      <c r="D31" s="5">
        <v>6.6832796423199996</v>
      </c>
      <c r="E31" s="5">
        <v>-75.220036091799997</v>
      </c>
      <c r="F31" t="e">
        <f>VLOOKUP(C31,I31:I78,1,TRUE)</f>
        <v>#N/A</v>
      </c>
      <c r="I31" t="s">
        <v>33</v>
      </c>
    </row>
    <row r="32" spans="1:11" x14ac:dyDescent="0.25">
      <c r="A32" s="2">
        <v>4</v>
      </c>
      <c r="B32" s="6" t="s">
        <v>6</v>
      </c>
      <c r="C32" s="7" t="s">
        <v>108</v>
      </c>
      <c r="D32" s="5">
        <v>6.8150699635700001</v>
      </c>
      <c r="E32" s="5">
        <v>-75.239856480599997</v>
      </c>
      <c r="F32" t="str">
        <f>VLOOKUP(C32,I32:I79,1,TRUE)</f>
        <v>EL</v>
      </c>
      <c r="I32" t="s">
        <v>65</v>
      </c>
      <c r="J32" t="s">
        <v>66</v>
      </c>
    </row>
    <row r="33" spans="1:12" x14ac:dyDescent="0.25">
      <c r="A33" s="2">
        <v>4</v>
      </c>
      <c r="B33" s="6" t="s">
        <v>6</v>
      </c>
      <c r="C33" s="7" t="s">
        <v>109</v>
      </c>
      <c r="D33" s="5">
        <v>7.1716374839799997</v>
      </c>
      <c r="E33" s="5">
        <v>-75.764675227599994</v>
      </c>
      <c r="F33" t="e">
        <f>VLOOKUP(C33,I33:I80,1,TRUE)</f>
        <v>#N/A</v>
      </c>
      <c r="I33" t="s">
        <v>67</v>
      </c>
      <c r="J33" t="s">
        <v>68</v>
      </c>
    </row>
    <row r="34" spans="1:12" x14ac:dyDescent="0.25">
      <c r="A34" s="2">
        <v>4</v>
      </c>
      <c r="B34" s="6" t="s">
        <v>6</v>
      </c>
      <c r="C34" s="7" t="s">
        <v>110</v>
      </c>
      <c r="D34" s="5">
        <v>6.9168027992400001</v>
      </c>
      <c r="E34" s="5">
        <v>-75.674733985900005</v>
      </c>
      <c r="F34" t="str">
        <f>VLOOKUP(C34,I34:I81,1,TRUE)</f>
        <v>SAN</v>
      </c>
      <c r="I34" t="s">
        <v>67</v>
      </c>
      <c r="J34" t="s">
        <v>69</v>
      </c>
    </row>
    <row r="35" spans="1:12" x14ac:dyDescent="0.25">
      <c r="A35" s="2">
        <v>4</v>
      </c>
      <c r="B35" s="6" t="s">
        <v>6</v>
      </c>
      <c r="C35" s="7" t="s">
        <v>111</v>
      </c>
      <c r="D35" s="5">
        <v>6.85008880044</v>
      </c>
      <c r="E35" s="5">
        <v>-75.683356418200006</v>
      </c>
      <c r="F35" t="str">
        <f>VLOOKUP(C35,I35:I82,1,TRUE)</f>
        <v>SAN</v>
      </c>
      <c r="I35" t="s">
        <v>70</v>
      </c>
      <c r="J35" t="s">
        <v>45</v>
      </c>
      <c r="K35" t="s">
        <v>46</v>
      </c>
    </row>
    <row r="36" spans="1:12" x14ac:dyDescent="0.25">
      <c r="A36" s="2">
        <v>4</v>
      </c>
      <c r="B36" s="6" t="s">
        <v>6</v>
      </c>
      <c r="C36" s="7" t="s">
        <v>38</v>
      </c>
      <c r="D36" s="5">
        <v>6.0429833256499998</v>
      </c>
      <c r="E36" s="5">
        <v>-74.993640125499994</v>
      </c>
      <c r="F36" t="str">
        <f>VLOOKUP(C36,I36:I83,1,TRUE)</f>
        <v>SAN</v>
      </c>
      <c r="I36" t="s">
        <v>36</v>
      </c>
    </row>
    <row r="37" spans="1:12" x14ac:dyDescent="0.25">
      <c r="A37" s="2">
        <v>4</v>
      </c>
      <c r="B37" s="6" t="s">
        <v>6</v>
      </c>
      <c r="C37" s="7" t="s">
        <v>112</v>
      </c>
      <c r="D37" s="5">
        <v>6.13685720436</v>
      </c>
      <c r="E37" s="5">
        <v>-75.265467980400004</v>
      </c>
      <c r="F37" t="str">
        <f>VLOOKUP(C37,I37:I84,1,TRUE)</f>
        <v>SANTA</v>
      </c>
      <c r="I37" t="s">
        <v>71</v>
      </c>
      <c r="J37" t="s">
        <v>72</v>
      </c>
      <c r="K37" t="s">
        <v>45</v>
      </c>
      <c r="L37" t="s">
        <v>46</v>
      </c>
    </row>
    <row r="38" spans="1:12" x14ac:dyDescent="0.25">
      <c r="A38" s="2">
        <v>4</v>
      </c>
      <c r="B38" s="6" t="s">
        <v>6</v>
      </c>
      <c r="C38" s="7" t="s">
        <v>113</v>
      </c>
      <c r="D38" s="5">
        <v>7.0101589961800004</v>
      </c>
      <c r="E38" s="5">
        <v>-75.691435760900006</v>
      </c>
      <c r="F38" t="str">
        <f>VLOOKUP(C38,I38:I85,1,TRUE)</f>
        <v>SOPETRAN</v>
      </c>
      <c r="I38" t="s">
        <v>71</v>
      </c>
      <c r="J38" t="s">
        <v>73</v>
      </c>
    </row>
    <row r="39" spans="1:12" x14ac:dyDescent="0.25">
      <c r="A39" s="2">
        <v>4</v>
      </c>
      <c r="B39" s="6" t="s">
        <v>6</v>
      </c>
      <c r="C39" s="7" t="s">
        <v>114</v>
      </c>
      <c r="D39" s="5">
        <v>7.1653440935999999</v>
      </c>
      <c r="E39" s="5">
        <v>-75.439198254299995</v>
      </c>
      <c r="F39" t="str">
        <f>VLOOKUP(C39,I39:I86,1,TRUE)</f>
        <v>TURBO</v>
      </c>
      <c r="I39" t="s">
        <v>71</v>
      </c>
      <c r="J39" t="s">
        <v>74</v>
      </c>
      <c r="K39" t="s">
        <v>48</v>
      </c>
      <c r="L39" t="s">
        <v>75</v>
      </c>
    </row>
    <row r="40" spans="1:12" x14ac:dyDescent="0.25">
      <c r="A40" s="2">
        <v>4</v>
      </c>
      <c r="B40" s="6" t="s">
        <v>6</v>
      </c>
      <c r="C40" s="7" t="s">
        <v>115</v>
      </c>
      <c r="D40" s="5">
        <v>6.9638710914299997</v>
      </c>
      <c r="E40" s="5">
        <v>-75.418832774600006</v>
      </c>
      <c r="F40" t="str">
        <f>VLOOKUP(C40,I40:I87,1,TRUE)</f>
        <v>VENECIA</v>
      </c>
      <c r="I40" t="s">
        <v>71</v>
      </c>
      <c r="J40" t="s">
        <v>76</v>
      </c>
    </row>
    <row r="41" spans="1:12" x14ac:dyDescent="0.25">
      <c r="A41" s="2">
        <v>5</v>
      </c>
      <c r="B41" s="6" t="s">
        <v>7</v>
      </c>
      <c r="C41" s="7" t="s">
        <v>116</v>
      </c>
      <c r="D41" s="5">
        <v>6.6322819550399998</v>
      </c>
      <c r="E41" s="5">
        <v>-76.064294867800001</v>
      </c>
      <c r="F41" t="e">
        <f>VLOOKUP(C41,I41:I88,1,TRUE)</f>
        <v>#N/A</v>
      </c>
      <c r="I41" t="s">
        <v>71</v>
      </c>
      <c r="J41" t="s">
        <v>77</v>
      </c>
    </row>
    <row r="42" spans="1:12" x14ac:dyDescent="0.25">
      <c r="A42" s="2">
        <v>5</v>
      </c>
      <c r="B42" s="6" t="s">
        <v>7</v>
      </c>
      <c r="C42" s="7" t="s">
        <v>117</v>
      </c>
      <c r="D42" s="5">
        <v>7.0747100413700004</v>
      </c>
      <c r="E42" s="5">
        <v>-75.148344960900005</v>
      </c>
      <c r="F42" t="e">
        <f>VLOOKUP(C42,I42:I89,1,TRUE)</f>
        <v>#N/A</v>
      </c>
      <c r="I42" t="s">
        <v>71</v>
      </c>
      <c r="J42" t="s">
        <v>78</v>
      </c>
      <c r="K42" t="s">
        <v>45</v>
      </c>
      <c r="L42" t="s">
        <v>46</v>
      </c>
    </row>
    <row r="43" spans="1:12" x14ac:dyDescent="0.25">
      <c r="A43" s="2">
        <v>5</v>
      </c>
      <c r="B43" s="6" t="s">
        <v>7</v>
      </c>
      <c r="C43" s="7" t="s">
        <v>118</v>
      </c>
      <c r="D43" s="5">
        <v>6.1556724056099998</v>
      </c>
      <c r="E43" s="5">
        <v>-75.786624536900007</v>
      </c>
      <c r="F43" t="e">
        <f>VLOOKUP(C43,I43:I90,1,TRUE)</f>
        <v>#N/A</v>
      </c>
      <c r="I43" t="s">
        <v>71</v>
      </c>
      <c r="J43" t="s">
        <v>79</v>
      </c>
    </row>
    <row r="44" spans="1:12" x14ac:dyDescent="0.25">
      <c r="A44" s="2">
        <v>5</v>
      </c>
      <c r="B44" s="6" t="s">
        <v>7</v>
      </c>
      <c r="C44" s="7" t="s">
        <v>119</v>
      </c>
      <c r="D44" s="5">
        <v>6.7206477546399999</v>
      </c>
      <c r="E44" s="5">
        <v>-75.907056153599996</v>
      </c>
      <c r="F44" t="e">
        <f>VLOOKUP(C44,I44:I91,1,TRUE)</f>
        <v>#N/A</v>
      </c>
      <c r="I44" t="s">
        <v>80</v>
      </c>
      <c r="J44" t="s">
        <v>81</v>
      </c>
      <c r="K44" t="s">
        <v>48</v>
      </c>
      <c r="L44" t="s">
        <v>82</v>
      </c>
    </row>
    <row r="45" spans="1:12" x14ac:dyDescent="0.25">
      <c r="A45" s="2">
        <v>5</v>
      </c>
      <c r="B45" s="6" t="s">
        <v>7</v>
      </c>
      <c r="C45" s="7" t="s">
        <v>120</v>
      </c>
      <c r="D45" s="5">
        <v>6.4055639735799996</v>
      </c>
      <c r="E45" s="5">
        <v>-75.982812364899999</v>
      </c>
      <c r="F45" t="e">
        <f>VLOOKUP(C45,I45:I92,1,TRUE)</f>
        <v>#N/A</v>
      </c>
      <c r="I45" t="s">
        <v>41</v>
      </c>
    </row>
    <row r="46" spans="1:12" x14ac:dyDescent="0.25">
      <c r="A46" s="2">
        <v>5</v>
      </c>
      <c r="B46" s="6" t="s">
        <v>7</v>
      </c>
      <c r="C46" s="7" t="s">
        <v>121</v>
      </c>
      <c r="D46" s="5">
        <v>6.7538443831999997</v>
      </c>
      <c r="E46" s="5">
        <v>-76.028223721399996</v>
      </c>
      <c r="F46" t="e">
        <f>VLOOKUP(C46,I46:I93,1,TRUE)</f>
        <v>#N/A</v>
      </c>
      <c r="I46" t="s">
        <v>42</v>
      </c>
    </row>
    <row r="47" spans="1:12" x14ac:dyDescent="0.25">
      <c r="A47" s="2">
        <v>5</v>
      </c>
      <c r="B47" s="6" t="s">
        <v>7</v>
      </c>
      <c r="C47" s="7" t="s">
        <v>122</v>
      </c>
      <c r="D47" s="5">
        <v>6.9981157516800003</v>
      </c>
      <c r="E47" s="5">
        <v>-76.261617822700003</v>
      </c>
      <c r="F47" t="e">
        <f>VLOOKUP(C47,I47:I94,1,TRUE)</f>
        <v>#N/A</v>
      </c>
      <c r="I47" t="s">
        <v>83</v>
      </c>
      <c r="J47" t="s">
        <v>45</v>
      </c>
      <c r="K47" t="s">
        <v>46</v>
      </c>
    </row>
    <row r="48" spans="1:12" x14ac:dyDescent="0.25">
      <c r="A48" s="2">
        <v>5</v>
      </c>
      <c r="B48" s="6" t="s">
        <v>7</v>
      </c>
      <c r="C48" s="7" t="s">
        <v>123</v>
      </c>
      <c r="D48" s="5">
        <v>6.3260566347099996</v>
      </c>
      <c r="E48" s="5">
        <v>-75.766213660700004</v>
      </c>
      <c r="F48" t="e">
        <f>VLOOKUP(C48,I48:I95,1,TRUE)</f>
        <v>#N/A</v>
      </c>
      <c r="I48" t="s">
        <v>84</v>
      </c>
      <c r="J48" t="s">
        <v>45</v>
      </c>
      <c r="K48" t="s">
        <v>46</v>
      </c>
    </row>
    <row r="49" spans="1:9" x14ac:dyDescent="0.25">
      <c r="A49" s="2">
        <v>5</v>
      </c>
      <c r="B49" s="6" t="s">
        <v>7</v>
      </c>
      <c r="C49" s="7" t="s">
        <v>124</v>
      </c>
      <c r="D49" s="5">
        <v>6.77606285319</v>
      </c>
      <c r="E49" s="5">
        <v>-76.130765211799996</v>
      </c>
      <c r="F49" t="e">
        <f>VLOOKUP(C49,I49:I96,1,TRUE)</f>
        <v>#N/A</v>
      </c>
      <c r="I49" t="s">
        <v>43</v>
      </c>
    </row>
    <row r="50" spans="1:9" x14ac:dyDescent="0.25">
      <c r="A50" s="2">
        <v>5</v>
      </c>
      <c r="B50" s="6" t="s">
        <v>7</v>
      </c>
      <c r="C50" s="7" t="s">
        <v>125</v>
      </c>
      <c r="D50" s="5">
        <v>6.6808079386300001</v>
      </c>
      <c r="E50" s="5">
        <v>-75.952157301499994</v>
      </c>
      <c r="F50" t="e">
        <f>VLOOKUP(C50,I50:I97,1,TRUE)</f>
        <v>#N/A</v>
      </c>
    </row>
    <row r="51" spans="1:9" x14ac:dyDescent="0.25">
      <c r="A51" s="2">
        <v>5</v>
      </c>
      <c r="B51" s="6" t="s">
        <v>7</v>
      </c>
      <c r="C51" s="7" t="s">
        <v>126</v>
      </c>
      <c r="D51" s="5">
        <v>6.2067622905600004</v>
      </c>
      <c r="E51" s="5">
        <v>-75.734332288900006</v>
      </c>
      <c r="F51" t="e">
        <f>VLOOKUP(C51,I51:I98,1,TRUE)</f>
        <v>#N/A</v>
      </c>
    </row>
    <row r="52" spans="1:9" x14ac:dyDescent="0.25">
      <c r="A52" s="2">
        <v>5</v>
      </c>
      <c r="B52" s="6" t="s">
        <v>7</v>
      </c>
      <c r="C52" s="7" t="s">
        <v>29</v>
      </c>
      <c r="D52" s="5">
        <v>6.6773253760699998</v>
      </c>
      <c r="E52" s="5">
        <v>-75.812832607499999</v>
      </c>
      <c r="F52" t="e">
        <f>VLOOKUP(C52,I52:I99,1,TRUE)</f>
        <v>#N/A</v>
      </c>
    </row>
    <row r="53" spans="1:9" x14ac:dyDescent="0.25">
      <c r="A53" s="2">
        <v>5</v>
      </c>
      <c r="B53" s="6" t="s">
        <v>7</v>
      </c>
      <c r="C53" s="7" t="s">
        <v>33</v>
      </c>
      <c r="D53" s="5">
        <v>6.6266049970600003</v>
      </c>
      <c r="E53" s="5">
        <v>-75.811874416799995</v>
      </c>
      <c r="F53" t="e">
        <f>VLOOKUP(C53,I53:I100,1,TRUE)</f>
        <v>#N/A</v>
      </c>
    </row>
    <row r="54" spans="1:9" x14ac:dyDescent="0.25">
      <c r="A54" s="2">
        <v>5</v>
      </c>
      <c r="B54" s="6" t="s">
        <v>7</v>
      </c>
      <c r="C54" s="7" t="s">
        <v>127</v>
      </c>
      <c r="D54" s="5">
        <v>7.0210392584800001</v>
      </c>
      <c r="E54" s="5">
        <v>-75.910355698900005</v>
      </c>
      <c r="F54" t="e">
        <f>VLOOKUP(C54,I54:I101,1,TRUE)</f>
        <v>#N/A</v>
      </c>
    </row>
    <row r="55" spans="1:9" x14ac:dyDescent="0.25">
      <c r="A55" s="2">
        <v>5</v>
      </c>
      <c r="B55" s="6" t="s">
        <v>7</v>
      </c>
      <c r="C55" s="7" t="s">
        <v>128</v>
      </c>
      <c r="D55" s="5">
        <v>6.8500208137099996</v>
      </c>
      <c r="E55" s="5">
        <v>-75.816645936399993</v>
      </c>
      <c r="F55" t="e">
        <f>VLOOKUP(C55,I55:I102,1,TRUE)</f>
        <v>#N/A</v>
      </c>
    </row>
    <row r="56" spans="1:9" x14ac:dyDescent="0.25">
      <c r="A56" s="2">
        <v>5</v>
      </c>
      <c r="B56" s="6" t="s">
        <v>7</v>
      </c>
      <c r="C56" s="7" t="s">
        <v>129</v>
      </c>
      <c r="D56" s="5">
        <v>6.4480658563600004</v>
      </c>
      <c r="E56" s="5">
        <v>-75.727000084300002</v>
      </c>
      <c r="F56" t="e">
        <f>VLOOKUP(C56,I56:I103,1,TRUE)</f>
        <v>#N/A</v>
      </c>
    </row>
    <row r="57" spans="1:9" x14ac:dyDescent="0.25">
      <c r="A57" s="2">
        <v>5</v>
      </c>
      <c r="B57" s="6" t="s">
        <v>7</v>
      </c>
      <c r="C57" s="7" t="s">
        <v>40</v>
      </c>
      <c r="D57" s="5">
        <v>6.6433264340599996</v>
      </c>
      <c r="E57" s="5">
        <v>-75.460740036999994</v>
      </c>
      <c r="F57" t="e">
        <f>VLOOKUP(C57,I57:I104,1,TRUE)</f>
        <v>#N/A</v>
      </c>
    </row>
    <row r="58" spans="1:9" x14ac:dyDescent="0.25">
      <c r="A58" s="2">
        <v>5</v>
      </c>
      <c r="B58" s="6" t="s">
        <v>7</v>
      </c>
      <c r="C58" s="7" t="s">
        <v>130</v>
      </c>
      <c r="D58" s="5">
        <v>6.5009925943500004</v>
      </c>
      <c r="E58" s="5">
        <v>-75.747252865600004</v>
      </c>
      <c r="F58" t="e">
        <f>VLOOKUP(C58,I58:I105,1,TRUE)</f>
        <v>#N/A</v>
      </c>
    </row>
    <row r="59" spans="1:9" x14ac:dyDescent="0.25">
      <c r="A59" s="2">
        <v>5</v>
      </c>
      <c r="B59" s="6" t="s">
        <v>7</v>
      </c>
      <c r="C59" s="7" t="s">
        <v>131</v>
      </c>
      <c r="D59" s="5">
        <v>6.8984976764699999</v>
      </c>
      <c r="E59" s="5">
        <v>-76.173405567800003</v>
      </c>
      <c r="F59" t="e">
        <f>VLOOKUP(C59,I59:I106,1,TRUE)</f>
        <v>#N/A</v>
      </c>
    </row>
    <row r="60" spans="1:9" x14ac:dyDescent="0.25">
      <c r="A60" s="2">
        <v>6</v>
      </c>
      <c r="B60" s="6" t="s">
        <v>8</v>
      </c>
      <c r="C60" s="7" t="s">
        <v>132</v>
      </c>
      <c r="D60" s="5">
        <v>5.7893011143299997</v>
      </c>
      <c r="E60" s="5">
        <v>-75.428740390399994</v>
      </c>
      <c r="F60" t="e">
        <f>VLOOKUP(C60,I60:I107,1,TRUE)</f>
        <v>#N/A</v>
      </c>
    </row>
    <row r="61" spans="1:9" x14ac:dyDescent="0.25">
      <c r="A61" s="2">
        <v>6</v>
      </c>
      <c r="B61" s="6" t="s">
        <v>8</v>
      </c>
      <c r="C61" s="7" t="s">
        <v>133</v>
      </c>
      <c r="D61" s="5">
        <v>6.37606264274</v>
      </c>
      <c r="E61" s="5">
        <v>-75.141334501000003</v>
      </c>
      <c r="F61" t="e">
        <f>VLOOKUP(C61,I61:I108,1,TRUE)</f>
        <v>#N/A</v>
      </c>
    </row>
    <row r="62" spans="1:9" x14ac:dyDescent="0.25">
      <c r="A62" s="2">
        <v>6</v>
      </c>
      <c r="B62" s="6" t="s">
        <v>8</v>
      </c>
      <c r="C62" s="7" t="s">
        <v>134</v>
      </c>
      <c r="D62" s="5">
        <v>5.7314792283199996</v>
      </c>
      <c r="E62" s="5">
        <v>-75.141063359499995</v>
      </c>
      <c r="F62" t="e">
        <f>VLOOKUP(C62,I62:I109,1,TRUE)</f>
        <v>#N/A</v>
      </c>
    </row>
    <row r="63" spans="1:9" x14ac:dyDescent="0.25">
      <c r="A63" s="2">
        <v>6</v>
      </c>
      <c r="B63" s="6" t="s">
        <v>8</v>
      </c>
      <c r="C63" s="7" t="s">
        <v>135</v>
      </c>
      <c r="D63" s="5">
        <v>6.0583061676099996</v>
      </c>
      <c r="E63" s="5">
        <v>-75.185481724400006</v>
      </c>
      <c r="F63" t="e">
        <f>VLOOKUP(C63,I63:I110,1,TRUE)</f>
        <v>#N/A</v>
      </c>
    </row>
    <row r="64" spans="1:9" x14ac:dyDescent="0.25">
      <c r="A64" s="2">
        <v>6</v>
      </c>
      <c r="B64" s="6" t="s">
        <v>8</v>
      </c>
      <c r="C64" s="7" t="s">
        <v>136</v>
      </c>
      <c r="D64" s="5">
        <v>6.3943539764399997</v>
      </c>
      <c r="E64" s="5">
        <v>-75.257601242999996</v>
      </c>
      <c r="F64" t="e">
        <f>VLOOKUP(C64,I64:I111,1,TRUE)</f>
        <v>#N/A</v>
      </c>
    </row>
    <row r="65" spans="1:6" x14ac:dyDescent="0.25">
      <c r="A65" s="2">
        <v>6</v>
      </c>
      <c r="B65" s="6" t="s">
        <v>8</v>
      </c>
      <c r="C65" s="7" t="s">
        <v>137</v>
      </c>
      <c r="D65" s="5">
        <v>7.5975218855</v>
      </c>
      <c r="E65" s="5">
        <v>-74.799097011900002</v>
      </c>
      <c r="F65" t="e">
        <f>VLOOKUP(C65,I65:I112,1,TRUE)</f>
        <v>#N/A</v>
      </c>
    </row>
    <row r="66" spans="1:6" x14ac:dyDescent="0.25">
      <c r="A66" s="2">
        <v>6</v>
      </c>
      <c r="B66" s="6" t="s">
        <v>8</v>
      </c>
      <c r="C66" s="7" t="s">
        <v>34</v>
      </c>
      <c r="D66" s="5">
        <v>7.5975218855</v>
      </c>
      <c r="E66" s="5">
        <v>-74.799097011900002</v>
      </c>
      <c r="F66" t="e">
        <f>VLOOKUP(C66,I66:I113,1,TRUE)</f>
        <v>#N/A</v>
      </c>
    </row>
    <row r="67" spans="1:6" x14ac:dyDescent="0.25">
      <c r="A67" s="2">
        <v>6</v>
      </c>
      <c r="B67" s="6" t="s">
        <v>8</v>
      </c>
      <c r="C67" s="7" t="s">
        <v>138</v>
      </c>
      <c r="D67" s="5">
        <v>7.5975218855</v>
      </c>
      <c r="E67" s="5">
        <v>-74.799097011900002</v>
      </c>
      <c r="F67" t="e">
        <f>VLOOKUP(C67,I67:I114,1,TRUE)</f>
        <v>#N/A</v>
      </c>
    </row>
    <row r="68" spans="1:6" x14ac:dyDescent="0.25">
      <c r="A68" s="2">
        <v>6</v>
      </c>
      <c r="B68" s="6" t="s">
        <v>8</v>
      </c>
      <c r="C68" s="7" t="s">
        <v>139</v>
      </c>
      <c r="D68" s="5">
        <v>7.5975218855</v>
      </c>
      <c r="E68" s="5">
        <v>-74.799097011900002</v>
      </c>
      <c r="F68" t="e">
        <f>VLOOKUP(C68,I68:I115,1,TRUE)</f>
        <v>#N/A</v>
      </c>
    </row>
    <row r="69" spans="1:6" x14ac:dyDescent="0.25">
      <c r="A69" s="2">
        <v>6</v>
      </c>
      <c r="B69" s="6" t="s">
        <v>8</v>
      </c>
      <c r="C69" s="7" t="s">
        <v>140</v>
      </c>
      <c r="D69" s="5">
        <v>6.1429023596999999</v>
      </c>
      <c r="E69" s="5">
        <v>-75.184450063900002</v>
      </c>
      <c r="F69" t="e">
        <f>VLOOKUP(C69,I69:I116,1,TRUE)</f>
        <v>#N/A</v>
      </c>
    </row>
    <row r="70" spans="1:6" x14ac:dyDescent="0.25">
      <c r="A70" s="2">
        <v>6</v>
      </c>
      <c r="B70" s="6" t="s">
        <v>8</v>
      </c>
      <c r="C70" s="7" t="s">
        <v>141</v>
      </c>
      <c r="D70" s="5">
        <v>6.2780269610800001</v>
      </c>
      <c r="E70" s="5">
        <v>-75.441653571200007</v>
      </c>
      <c r="F70" t="e">
        <f>VLOOKUP(C70,I70:I117,1,TRUE)</f>
        <v>#N/A</v>
      </c>
    </row>
    <row r="71" spans="1:6" x14ac:dyDescent="0.25">
      <c r="A71" s="2">
        <v>6</v>
      </c>
      <c r="B71" s="6" t="s">
        <v>8</v>
      </c>
      <c r="C71" s="7" t="s">
        <v>142</v>
      </c>
      <c r="D71" s="5">
        <v>6.2324096984299997</v>
      </c>
      <c r="E71" s="5">
        <v>-75.160020881799994</v>
      </c>
      <c r="F71" t="e">
        <f>VLOOKUP(C71,I71:I118,1,TRUE)</f>
        <v>#N/A</v>
      </c>
    </row>
    <row r="72" spans="1:6" x14ac:dyDescent="0.25">
      <c r="A72" s="2">
        <v>6</v>
      </c>
      <c r="B72" s="6" t="s">
        <v>8</v>
      </c>
      <c r="C72" s="7" t="s">
        <v>26</v>
      </c>
      <c r="D72" s="5">
        <v>6.0280546583600003</v>
      </c>
      <c r="E72" s="5">
        <v>-75.429432927199997</v>
      </c>
      <c r="F72" t="e">
        <f>VLOOKUP(C72,I72:I119,1,TRUE)</f>
        <v>#N/A</v>
      </c>
    </row>
    <row r="73" spans="1:6" x14ac:dyDescent="0.25">
      <c r="A73" s="2">
        <v>6</v>
      </c>
      <c r="B73" s="6" t="s">
        <v>8</v>
      </c>
      <c r="C73" s="7" t="s">
        <v>143</v>
      </c>
      <c r="D73" s="5">
        <v>5.9738711341700004</v>
      </c>
      <c r="E73" s="5">
        <v>-75.360862291100005</v>
      </c>
      <c r="F73" t="e">
        <f>VLOOKUP(C73,I73:I120,1,TRUE)</f>
        <v>#N/A</v>
      </c>
    </row>
    <row r="74" spans="1:6" x14ac:dyDescent="0.25">
      <c r="A74" s="2">
        <v>6</v>
      </c>
      <c r="B74" s="6" t="s">
        <v>8</v>
      </c>
      <c r="C74" s="7" t="s">
        <v>31</v>
      </c>
      <c r="D74" s="5">
        <v>6.1740495153800001</v>
      </c>
      <c r="E74" s="5">
        <v>-75.339459836700001</v>
      </c>
      <c r="F74" t="e">
        <f>VLOOKUP(C74,I74:I121,1,TRUE)</f>
        <v>#N/A</v>
      </c>
    </row>
    <row r="75" spans="1:6" x14ac:dyDescent="0.25">
      <c r="A75" s="2">
        <v>6</v>
      </c>
      <c r="B75" s="6" t="s">
        <v>8</v>
      </c>
      <c r="C75" s="7" t="s">
        <v>144</v>
      </c>
      <c r="D75" s="5">
        <v>5.6107772219500003</v>
      </c>
      <c r="E75" s="5">
        <v>-75.176261771100002</v>
      </c>
      <c r="F75" t="e">
        <f>VLOOKUP(C75,I75:I122,1,TRUE)</f>
        <v>#N/A</v>
      </c>
    </row>
    <row r="76" spans="1:6" x14ac:dyDescent="0.25">
      <c r="A76" s="2">
        <v>6</v>
      </c>
      <c r="B76" s="6" t="s">
        <v>8</v>
      </c>
      <c r="C76" s="7" t="s">
        <v>70</v>
      </c>
      <c r="D76" s="5">
        <v>6.1472245313</v>
      </c>
      <c r="E76" s="5">
        <v>-75.376766755700004</v>
      </c>
      <c r="F76" t="e">
        <f>VLOOKUP(C76,I76:I123,1,TRUE)</f>
        <v>#N/A</v>
      </c>
    </row>
    <row r="77" spans="1:6" x14ac:dyDescent="0.25">
      <c r="A77" s="2">
        <v>6</v>
      </c>
      <c r="B77" s="6" t="s">
        <v>8</v>
      </c>
      <c r="C77" s="7" t="s">
        <v>145</v>
      </c>
      <c r="D77" s="5">
        <v>6.1879898014499997</v>
      </c>
      <c r="E77" s="5">
        <v>-74.987960515799998</v>
      </c>
      <c r="F77" t="e">
        <f>VLOOKUP(C77,I77:I124,1,TRUE)</f>
        <v>#N/A</v>
      </c>
    </row>
    <row r="78" spans="1:6" x14ac:dyDescent="0.25">
      <c r="A78" s="2">
        <v>6</v>
      </c>
      <c r="B78" s="6" t="s">
        <v>8</v>
      </c>
      <c r="C78" s="7" t="s">
        <v>146</v>
      </c>
      <c r="D78" s="5">
        <v>5.9636201053700004</v>
      </c>
      <c r="E78" s="5">
        <v>-75.101569549299995</v>
      </c>
      <c r="F78" t="e">
        <f>VLOOKUP(C78,I78:I125,1,TRUE)</f>
        <v>#N/A</v>
      </c>
    </row>
    <row r="79" spans="1:6" x14ac:dyDescent="0.25">
      <c r="A79" s="2">
        <v>6</v>
      </c>
      <c r="B79" s="6" t="s">
        <v>8</v>
      </c>
      <c r="C79" s="7" t="s">
        <v>37</v>
      </c>
      <c r="D79" s="5">
        <v>6.0429833256499998</v>
      </c>
      <c r="E79" s="5">
        <v>-74.993640125499994</v>
      </c>
      <c r="F79" t="e">
        <f>VLOOKUP(C79,I79:I126,1,TRUE)</f>
        <v>#N/A</v>
      </c>
    </row>
    <row r="80" spans="1:6" x14ac:dyDescent="0.25">
      <c r="A80" s="2">
        <v>6</v>
      </c>
      <c r="B80" s="6" t="s">
        <v>8</v>
      </c>
      <c r="C80" s="7" t="s">
        <v>147</v>
      </c>
      <c r="D80" s="5">
        <v>6.2937569833199998</v>
      </c>
      <c r="E80" s="5">
        <v>-75.027982880699994</v>
      </c>
      <c r="F80" t="e">
        <f>VLOOKUP(C80,I80:I127,1,TRUE)</f>
        <v>#N/A</v>
      </c>
    </row>
    <row r="81" spans="1:6" x14ac:dyDescent="0.25">
      <c r="A81" s="2">
        <v>6</v>
      </c>
      <c r="B81" s="6" t="s">
        <v>8</v>
      </c>
      <c r="C81" s="7" t="s">
        <v>148</v>
      </c>
      <c r="D81" s="5">
        <v>6.2821522086600003</v>
      </c>
      <c r="E81" s="5">
        <v>-75.332611381099994</v>
      </c>
      <c r="F81" t="e">
        <f>VLOOKUP(C81,I81:I128,1,TRUE)</f>
        <v>#N/A</v>
      </c>
    </row>
    <row r="82" spans="1:6" x14ac:dyDescent="0.25">
      <c r="A82" s="2">
        <v>6</v>
      </c>
      <c r="B82" s="6" t="s">
        <v>8</v>
      </c>
      <c r="C82" s="7" t="s">
        <v>149</v>
      </c>
      <c r="D82" s="5">
        <v>7.07963898594</v>
      </c>
      <c r="E82" s="5">
        <v>-74.701588721999997</v>
      </c>
      <c r="F82" t="e">
        <f>VLOOKUP(C82,I82:I129,1,TRUE)</f>
        <v>#N/A</v>
      </c>
    </row>
    <row r="83" spans="1:6" x14ac:dyDescent="0.25">
      <c r="A83" s="2">
        <v>7</v>
      </c>
      <c r="B83" s="6" t="s">
        <v>9</v>
      </c>
      <c r="C83" s="7" t="s">
        <v>150</v>
      </c>
      <c r="D83" s="5">
        <v>6.0388084238099999</v>
      </c>
      <c r="E83" s="5">
        <v>-75.701948338899996</v>
      </c>
      <c r="F83" t="e">
        <f>VLOOKUP(C83,I83:I130,1,TRUE)</f>
        <v>#N/A</v>
      </c>
    </row>
    <row r="84" spans="1:6" x14ac:dyDescent="0.25">
      <c r="A84" s="2">
        <v>7</v>
      </c>
      <c r="B84" s="6" t="s">
        <v>9</v>
      </c>
      <c r="C84" s="7" t="s">
        <v>151</v>
      </c>
      <c r="D84" s="5">
        <v>5.6567697131100001</v>
      </c>
      <c r="E84" s="5">
        <v>-75.878794075000002</v>
      </c>
      <c r="F84" t="e">
        <f>VLOOKUP(C84,I84:I131,1,TRUE)</f>
        <v>#N/A</v>
      </c>
    </row>
    <row r="85" spans="1:6" x14ac:dyDescent="0.25">
      <c r="A85" s="2">
        <v>7</v>
      </c>
      <c r="B85" s="6" t="s">
        <v>9</v>
      </c>
      <c r="C85" s="7" t="s">
        <v>152</v>
      </c>
      <c r="D85" s="5">
        <v>6.1096127776699998</v>
      </c>
      <c r="E85" s="5">
        <v>-75.711353383700001</v>
      </c>
      <c r="F85" t="e">
        <f>VLOOKUP(C85,I85:I132,1,TRUE)</f>
        <v>#N/A</v>
      </c>
    </row>
    <row r="86" spans="1:6" x14ac:dyDescent="0.25">
      <c r="A86" s="2">
        <v>7</v>
      </c>
      <c r="B86" s="6" t="s">
        <v>9</v>
      </c>
      <c r="C86" s="7" t="s">
        <v>153</v>
      </c>
      <c r="D86" s="5">
        <v>5.7461965615199997</v>
      </c>
      <c r="E86" s="5">
        <v>-75.976713941400007</v>
      </c>
      <c r="F86" t="e">
        <f>VLOOKUP(C86,I86:I133,1,TRUE)</f>
        <v>#N/A</v>
      </c>
    </row>
    <row r="87" spans="1:6" x14ac:dyDescent="0.25">
      <c r="A87" s="2">
        <v>7</v>
      </c>
      <c r="B87" s="6" t="s">
        <v>9</v>
      </c>
      <c r="C87" s="7" t="s">
        <v>154</v>
      </c>
      <c r="D87" s="5">
        <v>6.11525553285</v>
      </c>
      <c r="E87" s="5">
        <v>-75.984515569899997</v>
      </c>
      <c r="F87" t="e">
        <f>VLOOKUP(C87,I87:I134,1,TRUE)</f>
        <v>#N/A</v>
      </c>
    </row>
    <row r="88" spans="1:6" x14ac:dyDescent="0.25">
      <c r="A88" s="2">
        <v>7</v>
      </c>
      <c r="B88" s="6" t="s">
        <v>9</v>
      </c>
      <c r="C88" s="7" t="s">
        <v>155</v>
      </c>
      <c r="D88" s="5">
        <v>5.5485342716600003</v>
      </c>
      <c r="E88" s="5">
        <v>-75.643871265399994</v>
      </c>
      <c r="F88" t="e">
        <f>VLOOKUP(C88,I88:I135,1,TRUE)</f>
        <v>#N/A</v>
      </c>
    </row>
    <row r="89" spans="1:6" x14ac:dyDescent="0.25">
      <c r="A89" s="2">
        <v>7</v>
      </c>
      <c r="B89" s="6" t="s">
        <v>9</v>
      </c>
      <c r="C89" s="7" t="s">
        <v>156</v>
      </c>
      <c r="D89" s="5">
        <v>6.5377630482600004</v>
      </c>
      <c r="E89" s="5">
        <v>-75.087205134100003</v>
      </c>
      <c r="F89" t="e">
        <f>VLOOKUP(C89,I89:I136,1,TRUE)</f>
        <v>#N/A</v>
      </c>
    </row>
    <row r="90" spans="1:6" x14ac:dyDescent="0.25">
      <c r="A90" s="2">
        <v>7</v>
      </c>
      <c r="B90" s="6" t="s">
        <v>9</v>
      </c>
      <c r="C90" s="7" t="s">
        <v>157</v>
      </c>
      <c r="D90" s="5">
        <v>6.0460865961500003</v>
      </c>
      <c r="E90" s="5">
        <v>-75.908453519399998</v>
      </c>
      <c r="F90" t="e">
        <f>VLOOKUP(C90,I90:I137,1,TRUE)</f>
        <v>#N/A</v>
      </c>
    </row>
    <row r="91" spans="1:6" x14ac:dyDescent="0.25">
      <c r="A91" s="2">
        <v>7</v>
      </c>
      <c r="B91" s="6" t="s">
        <v>9</v>
      </c>
      <c r="C91" s="7" t="s">
        <v>56</v>
      </c>
      <c r="D91" s="5">
        <v>5.9280855467000002</v>
      </c>
      <c r="E91" s="5">
        <v>-75.675093251600003</v>
      </c>
      <c r="F91" t="e">
        <f>VLOOKUP(C91,I91:I138,1,TRUE)</f>
        <v>#N/A</v>
      </c>
    </row>
    <row r="92" spans="1:6" x14ac:dyDescent="0.25">
      <c r="A92" s="2">
        <v>7</v>
      </c>
      <c r="B92" s="6" t="s">
        <v>9</v>
      </c>
      <c r="C92" s="7" t="s">
        <v>158</v>
      </c>
      <c r="D92" s="5">
        <v>5.7994628083200004</v>
      </c>
      <c r="E92" s="5">
        <v>-75.906590965999996</v>
      </c>
      <c r="F92" t="e">
        <f>VLOOKUP(C92,I92:I139,1,TRUE)</f>
        <v>#N/A</v>
      </c>
    </row>
    <row r="93" spans="1:6" x14ac:dyDescent="0.25">
      <c r="A93" s="2">
        <v>7</v>
      </c>
      <c r="B93" s="6" t="s">
        <v>9</v>
      </c>
      <c r="C93" s="7" t="s">
        <v>159</v>
      </c>
      <c r="D93" s="5">
        <v>5.5975398467700002</v>
      </c>
      <c r="E93" s="5">
        <v>-75.818980781500002</v>
      </c>
      <c r="F93" t="e">
        <f>VLOOKUP(C93,I93:I140,1,TRUE)</f>
        <v>#N/A</v>
      </c>
    </row>
    <row r="94" spans="1:6" x14ac:dyDescent="0.25">
      <c r="A94" s="2">
        <v>7</v>
      </c>
      <c r="B94" s="6" t="s">
        <v>9</v>
      </c>
      <c r="C94" s="7" t="s">
        <v>60</v>
      </c>
      <c r="D94" s="5">
        <v>5.7897420375599999</v>
      </c>
      <c r="E94" s="5">
        <v>-75.785503853099996</v>
      </c>
      <c r="F94" t="e">
        <f>VLOOKUP(C94,I94:I141,1,TRUE)</f>
        <v>#N/A</v>
      </c>
    </row>
    <row r="95" spans="1:6" x14ac:dyDescent="0.25">
      <c r="A95" s="2">
        <v>7</v>
      </c>
      <c r="B95" s="6" t="s">
        <v>9</v>
      </c>
      <c r="C95" s="7" t="s">
        <v>28</v>
      </c>
      <c r="D95" s="5">
        <v>5.7438076965100002</v>
      </c>
      <c r="E95" s="5">
        <v>-75.607805748100006</v>
      </c>
      <c r="F95" t="e">
        <f>VLOOKUP(C95,I95:I142,1,TRUE)</f>
        <v>#N/A</v>
      </c>
    </row>
    <row r="96" spans="1:6" x14ac:dyDescent="0.25">
      <c r="A96" s="2">
        <v>7</v>
      </c>
      <c r="B96" s="6" t="s">
        <v>9</v>
      </c>
      <c r="C96" s="7" t="s">
        <v>160</v>
      </c>
      <c r="D96" s="5">
        <v>5.9463238829399998</v>
      </c>
      <c r="E96" s="5">
        <v>-75.523509894699998</v>
      </c>
      <c r="F96" t="e">
        <f>VLOOKUP(C96,I96:I143,1,TRUE)</f>
        <v>#N/A</v>
      </c>
    </row>
    <row r="97" spans="1:6" x14ac:dyDescent="0.25">
      <c r="A97" s="2">
        <v>7</v>
      </c>
      <c r="B97" s="6" t="s">
        <v>9</v>
      </c>
      <c r="C97" s="7" t="s">
        <v>161</v>
      </c>
      <c r="D97" s="5">
        <v>5.7916885896099997</v>
      </c>
      <c r="E97" s="5">
        <v>-75.839713474800007</v>
      </c>
      <c r="F97" t="e">
        <f>VLOOKUP(C97,I97:I144,1,TRUE)</f>
        <v>#N/A</v>
      </c>
    </row>
    <row r="98" spans="1:6" x14ac:dyDescent="0.25">
      <c r="A98" s="2">
        <v>7</v>
      </c>
      <c r="B98" s="6" t="s">
        <v>9</v>
      </c>
      <c r="C98" s="7" t="s">
        <v>162</v>
      </c>
      <c r="D98" s="5">
        <v>5.9656403109999996</v>
      </c>
      <c r="E98" s="5">
        <v>-75.982048543999994</v>
      </c>
      <c r="F98" t="e">
        <f>VLOOKUP(C98,I98:I145,1,TRUE)</f>
        <v>#N/A</v>
      </c>
    </row>
    <row r="99" spans="1:6" x14ac:dyDescent="0.25">
      <c r="A99" s="2">
        <v>7</v>
      </c>
      <c r="B99" s="6" t="s">
        <v>9</v>
      </c>
      <c r="C99" s="7" t="s">
        <v>163</v>
      </c>
      <c r="D99" s="5">
        <v>5.8755418113499998</v>
      </c>
      <c r="E99" s="5">
        <v>-75.567354863399999</v>
      </c>
      <c r="F99" t="e">
        <f>VLOOKUP(C99,I99:I146,1,TRUE)</f>
        <v>#N/A</v>
      </c>
    </row>
    <row r="100" spans="1:6" x14ac:dyDescent="0.25">
      <c r="A100" s="2">
        <v>7</v>
      </c>
      <c r="B100" s="6" t="s">
        <v>9</v>
      </c>
      <c r="C100" s="7" t="s">
        <v>164</v>
      </c>
      <c r="D100" s="5">
        <v>5.6644691689200002</v>
      </c>
      <c r="E100" s="5">
        <v>-75.714319974899993</v>
      </c>
      <c r="F100" t="e">
        <f>VLOOKUP(C100,I100:I147,1,TRUE)</f>
        <v>#N/A</v>
      </c>
    </row>
    <row r="101" spans="1:6" x14ac:dyDescent="0.25">
      <c r="A101" s="2">
        <v>7</v>
      </c>
      <c r="B101" s="6" t="s">
        <v>9</v>
      </c>
      <c r="C101" s="7" t="s">
        <v>165</v>
      </c>
      <c r="D101" s="5">
        <v>5.8645525590099998</v>
      </c>
      <c r="E101" s="5">
        <v>-75.822950489299998</v>
      </c>
      <c r="F101" t="e">
        <f>VLOOKUP(C101,I101:I148,1,TRUE)</f>
        <v>#N/A</v>
      </c>
    </row>
    <row r="102" spans="1:6" x14ac:dyDescent="0.25">
      <c r="A102" s="2">
        <v>7</v>
      </c>
      <c r="B102" s="6" t="s">
        <v>9</v>
      </c>
      <c r="C102" s="7" t="s">
        <v>166</v>
      </c>
      <c r="D102" s="5">
        <v>6.0623975778699997</v>
      </c>
      <c r="E102" s="5">
        <v>-75.791888748999995</v>
      </c>
      <c r="F102" t="e">
        <f>VLOOKUP(C102,I102:I149,1,TRUE)</f>
        <v>#N/A</v>
      </c>
    </row>
    <row r="103" spans="1:6" x14ac:dyDescent="0.25">
      <c r="A103" s="2">
        <v>7</v>
      </c>
      <c r="B103" s="6" t="s">
        <v>9</v>
      </c>
      <c r="C103" s="7" t="s">
        <v>167</v>
      </c>
      <c r="D103" s="5">
        <v>6.3173197656399998</v>
      </c>
      <c r="E103" s="5">
        <v>-76.133951148799994</v>
      </c>
      <c r="F103" t="e">
        <f>VLOOKUP(C103,I103:I150,1,TRUE)</f>
        <v>#N/A</v>
      </c>
    </row>
    <row r="104" spans="1:6" x14ac:dyDescent="0.25">
      <c r="A104" s="2">
        <v>7</v>
      </c>
      <c r="B104" s="6" t="s">
        <v>9</v>
      </c>
      <c r="C104" s="7" t="s">
        <v>168</v>
      </c>
      <c r="D104" s="5">
        <v>5.6145548154</v>
      </c>
      <c r="E104" s="5">
        <v>-75.624463546800001</v>
      </c>
      <c r="F104" t="e">
        <f>VLOOKUP(C104,I104:I151,1,TRUE)</f>
        <v>#N/A</v>
      </c>
    </row>
    <row r="105" spans="1:6" x14ac:dyDescent="0.25">
      <c r="A105" s="2">
        <v>7</v>
      </c>
      <c r="B105" s="6" t="s">
        <v>9</v>
      </c>
      <c r="C105" s="7" t="s">
        <v>84</v>
      </c>
      <c r="D105" s="5">
        <v>5.9647306064099999</v>
      </c>
      <c r="E105" s="5">
        <v>-75.735500067900006</v>
      </c>
      <c r="F105" t="e">
        <f>VLOOKUP(C105,I105:I152,1,TRUE)</f>
        <v>#N/A</v>
      </c>
    </row>
    <row r="106" spans="1:6" x14ac:dyDescent="0.25">
      <c r="A106" s="2">
        <v>8</v>
      </c>
      <c r="B106" s="6" t="s">
        <v>10</v>
      </c>
      <c r="C106" s="7" t="s">
        <v>169</v>
      </c>
      <c r="D106" s="5">
        <v>7.0747100413700004</v>
      </c>
      <c r="E106" s="5">
        <v>-75.148344960900005</v>
      </c>
      <c r="F106" t="e">
        <f>VLOOKUP(C106,I106:I153,1,TRUE)</f>
        <v>#N/A</v>
      </c>
    </row>
    <row r="107" spans="1:6" x14ac:dyDescent="0.25">
      <c r="A107" s="2">
        <v>8</v>
      </c>
      <c r="B107" s="6" t="s">
        <v>10</v>
      </c>
      <c r="C107" s="7" t="s">
        <v>17</v>
      </c>
      <c r="D107" s="5">
        <v>7.0747100413700004</v>
      </c>
      <c r="E107" s="5">
        <v>-75.148344960900005</v>
      </c>
      <c r="F107" t="e">
        <f>VLOOKUP(C107,I107:I154,1,TRUE)</f>
        <v>#N/A</v>
      </c>
    </row>
    <row r="108" spans="1:6" x14ac:dyDescent="0.25">
      <c r="A108" s="2">
        <v>8</v>
      </c>
      <c r="B108" s="6" t="s">
        <v>10</v>
      </c>
      <c r="C108" s="7" t="s">
        <v>170</v>
      </c>
      <c r="D108" s="5">
        <v>7.7551154821899999</v>
      </c>
      <c r="E108" s="5">
        <v>-76.653210744000006</v>
      </c>
      <c r="F108" t="e">
        <f>VLOOKUP(C108,I108:I155,1,TRUE)</f>
        <v>#N/A</v>
      </c>
    </row>
    <row r="109" spans="1:6" x14ac:dyDescent="0.25">
      <c r="A109" s="2">
        <v>8</v>
      </c>
      <c r="B109" s="6" t="s">
        <v>10</v>
      </c>
      <c r="C109" s="7" t="s">
        <v>171</v>
      </c>
      <c r="D109" s="5">
        <v>7.66630069082</v>
      </c>
      <c r="E109" s="5">
        <v>-76.681214613099996</v>
      </c>
      <c r="F109" t="e">
        <f>VLOOKUP(C109,I109:I156,1,TRUE)</f>
        <v>#N/A</v>
      </c>
    </row>
    <row r="110" spans="1:6" x14ac:dyDescent="0.25">
      <c r="A110" s="2">
        <v>8</v>
      </c>
      <c r="B110" s="6" t="s">
        <v>10</v>
      </c>
      <c r="C110" s="7" t="s">
        <v>172</v>
      </c>
      <c r="D110" s="5">
        <v>6.97768956086</v>
      </c>
      <c r="E110" s="5">
        <v>-76.817459526700006</v>
      </c>
      <c r="F110" t="e">
        <f>VLOOKUP(C110,I110:I157,1,TRUE)</f>
        <v>#N/A</v>
      </c>
    </row>
    <row r="111" spans="1:6" x14ac:dyDescent="0.25">
      <c r="A111" s="2">
        <v>8</v>
      </c>
      <c r="B111" s="6" t="s">
        <v>10</v>
      </c>
      <c r="C111" s="7" t="s">
        <v>173</v>
      </c>
      <c r="D111" s="5">
        <v>7.24287193339</v>
      </c>
      <c r="E111" s="5">
        <v>-76.435875895899997</v>
      </c>
      <c r="F111" t="e">
        <f>VLOOKUP(C111,I111:I158,1,TRUE)</f>
        <v>#N/A</v>
      </c>
    </row>
    <row r="112" spans="1:6" x14ac:dyDescent="0.25">
      <c r="A112" s="2">
        <v>8</v>
      </c>
      <c r="B112" s="6" t="s">
        <v>10</v>
      </c>
      <c r="C112" s="7" t="s">
        <v>174</v>
      </c>
      <c r="D112" s="5">
        <v>8.4261360980000006</v>
      </c>
      <c r="E112" s="5">
        <v>-76.784574496999994</v>
      </c>
      <c r="F112" t="e">
        <f>VLOOKUP(C112,I112:I159,1,TRUE)</f>
        <v>#N/A</v>
      </c>
    </row>
    <row r="113" spans="1:6" x14ac:dyDescent="0.25">
      <c r="A113" s="2">
        <v>8</v>
      </c>
      <c r="B113" s="6" t="s">
        <v>10</v>
      </c>
      <c r="C113" s="7" t="s">
        <v>175</v>
      </c>
      <c r="D113" s="5">
        <v>8.7593442813899998</v>
      </c>
      <c r="E113" s="5">
        <v>-76.528801041600005</v>
      </c>
      <c r="F113" t="e">
        <f>VLOOKUP(C113,I113:I160,1,TRUE)</f>
        <v>#N/A</v>
      </c>
    </row>
    <row r="114" spans="1:6" x14ac:dyDescent="0.25">
      <c r="A114" s="2">
        <v>8</v>
      </c>
      <c r="B114" s="6" t="s">
        <v>10</v>
      </c>
      <c r="C114" s="7" t="s">
        <v>176</v>
      </c>
      <c r="D114" s="5">
        <v>6.4601380824400003</v>
      </c>
      <c r="E114" s="5">
        <v>-75.556718924099997</v>
      </c>
      <c r="F114" t="e">
        <f>VLOOKUP(C114,I114:I161,1,TRUE)</f>
        <v>#N/A</v>
      </c>
    </row>
    <row r="115" spans="1:6" x14ac:dyDescent="0.25">
      <c r="A115" s="2">
        <v>8</v>
      </c>
      <c r="B115" s="6" t="s">
        <v>10</v>
      </c>
      <c r="C115" s="7" t="s">
        <v>42</v>
      </c>
      <c r="D115" s="5">
        <v>8.0891131749700005</v>
      </c>
      <c r="E115" s="5">
        <v>-76.729159658200004</v>
      </c>
      <c r="F115" t="e">
        <f>VLOOKUP(C115,I115:I162,1,TRUE)</f>
        <v>#N/A</v>
      </c>
    </row>
    <row r="116" spans="1:6" x14ac:dyDescent="0.25">
      <c r="A116" s="2">
        <v>8</v>
      </c>
      <c r="B116" s="6" t="s">
        <v>10</v>
      </c>
      <c r="C116" s="7" t="s">
        <v>177</v>
      </c>
      <c r="D116" s="5">
        <v>6.5881234186500004</v>
      </c>
      <c r="E116" s="5">
        <v>-76.896186247599999</v>
      </c>
      <c r="F116" t="e">
        <f>VLOOKUP(C116,I116:I163,1,TRUE)</f>
        <v>#N/A</v>
      </c>
    </row>
    <row r="117" spans="1:6" x14ac:dyDescent="0.25">
      <c r="A117" s="2">
        <v>9</v>
      </c>
      <c r="B117" s="6" t="s">
        <v>11</v>
      </c>
      <c r="C117" s="7" t="s">
        <v>18</v>
      </c>
      <c r="D117" s="5">
        <v>6.4392260114999997</v>
      </c>
      <c r="E117" s="5">
        <v>-75.331640301700006</v>
      </c>
      <c r="F117" t="e">
        <f>VLOOKUP(C117,I117:I164,1,TRUE)</f>
        <v>#N/A</v>
      </c>
    </row>
    <row r="118" spans="1:6" x14ac:dyDescent="0.25">
      <c r="A118" s="2">
        <v>9</v>
      </c>
      <c r="B118" s="6" t="s">
        <v>11</v>
      </c>
      <c r="C118" s="7" t="s">
        <v>49</v>
      </c>
      <c r="D118" s="5">
        <v>6.3340655829200001</v>
      </c>
      <c r="E118" s="5">
        <v>-75.554667305300001</v>
      </c>
      <c r="F118" t="e">
        <f>VLOOKUP(C118,I118:I165,1,TRUE)</f>
        <v>#N/A</v>
      </c>
    </row>
    <row r="119" spans="1:6" x14ac:dyDescent="0.25">
      <c r="A119" s="2">
        <v>9</v>
      </c>
      <c r="B119" s="6" t="s">
        <v>11</v>
      </c>
      <c r="C119" s="7" t="s">
        <v>19</v>
      </c>
      <c r="D119" s="5">
        <v>6.0912976032300001</v>
      </c>
      <c r="E119" s="5">
        <v>-75.633616824800001</v>
      </c>
      <c r="F119" t="e">
        <f>VLOOKUP(C119,I119:I166,1,TRUE)</f>
        <v>#N/A</v>
      </c>
    </row>
    <row r="120" spans="1:6" x14ac:dyDescent="0.25">
      <c r="A120" s="2">
        <v>9</v>
      </c>
      <c r="B120" s="6" t="s">
        <v>11</v>
      </c>
      <c r="C120" s="7" t="s">
        <v>55</v>
      </c>
      <c r="D120" s="5">
        <v>6.3486394705600002</v>
      </c>
      <c r="E120" s="5">
        <v>-75.509343511899999</v>
      </c>
      <c r="F120" t="e">
        <f>VLOOKUP(C120,I120:I167,1,TRUE)</f>
        <v>#N/A</v>
      </c>
    </row>
    <row r="121" spans="1:6" x14ac:dyDescent="0.25">
      <c r="A121" s="2">
        <v>9</v>
      </c>
      <c r="B121" s="6" t="s">
        <v>11</v>
      </c>
      <c r="C121" s="7" t="s">
        <v>22</v>
      </c>
      <c r="D121" s="5">
        <v>6.1670058929799998</v>
      </c>
      <c r="E121" s="5">
        <v>-75.583008936900001</v>
      </c>
      <c r="F121" t="e">
        <f>VLOOKUP(C121,I121:I168,1,TRUE)</f>
        <v>#N/A</v>
      </c>
    </row>
    <row r="122" spans="1:6" x14ac:dyDescent="0.25">
      <c r="A122" s="2">
        <v>9</v>
      </c>
      <c r="B122" s="6" t="s">
        <v>11</v>
      </c>
      <c r="C122" s="7" t="s">
        <v>23</v>
      </c>
      <c r="D122" s="5">
        <v>6.3796153560700004</v>
      </c>
      <c r="E122" s="5">
        <v>-75.444459768100003</v>
      </c>
      <c r="F122" t="e">
        <f>VLOOKUP(C122,I122:I169,1,TRUE)</f>
        <v>#N/A</v>
      </c>
    </row>
    <row r="123" spans="1:6" x14ac:dyDescent="0.25">
      <c r="A123" s="2">
        <v>9</v>
      </c>
      <c r="B123" s="6" t="s">
        <v>11</v>
      </c>
      <c r="C123" s="7" t="s">
        <v>25</v>
      </c>
      <c r="D123" s="5">
        <v>5.7994628083200004</v>
      </c>
      <c r="E123" s="5">
        <v>-75.906590965999996</v>
      </c>
      <c r="F123" t="e">
        <f>VLOOKUP(C123,I123:I170,1,TRUE)</f>
        <v>#N/A</v>
      </c>
    </row>
    <row r="124" spans="1:6" x14ac:dyDescent="0.25">
      <c r="A124" s="2">
        <v>9</v>
      </c>
      <c r="B124" s="6" t="s">
        <v>11</v>
      </c>
      <c r="C124" s="7" t="s">
        <v>27</v>
      </c>
      <c r="D124" s="5">
        <v>6.15841993</v>
      </c>
      <c r="E124" s="5">
        <v>-75.645190381999996</v>
      </c>
      <c r="F124" t="e">
        <f>VLOOKUP(C124,I124:I171,1,TRUE)</f>
        <v>#N/A</v>
      </c>
    </row>
    <row r="125" spans="1:6" x14ac:dyDescent="0.25">
      <c r="A125" s="2">
        <v>9</v>
      </c>
      <c r="B125" s="6" t="s">
        <v>11</v>
      </c>
      <c r="C125" s="7" t="s">
        <v>178</v>
      </c>
      <c r="D125" s="5">
        <v>6.1740495153800001</v>
      </c>
      <c r="E125" s="5">
        <v>-75.339459836700001</v>
      </c>
      <c r="F125" t="e">
        <f>VLOOKUP(C125,I125:I172,1,TRUE)</f>
        <v>#N/A</v>
      </c>
    </row>
    <row r="126" spans="1:6" x14ac:dyDescent="0.25">
      <c r="A126" s="2">
        <v>9</v>
      </c>
      <c r="B126" s="6" t="s">
        <v>11</v>
      </c>
      <c r="C126" s="7" t="s">
        <v>36</v>
      </c>
      <c r="D126" s="5">
        <v>6.1509698176700001</v>
      </c>
      <c r="E126" s="5">
        <v>-75.615584541600001</v>
      </c>
      <c r="F126" t="e">
        <f>VLOOKUP(C126,I126:I173,1,TRUE)</f>
        <v>#N/A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1F6E0-8750-4917-9BF5-6ED7A6AD9ED0}">
  <sheetPr codeName="Hoja2"/>
  <dimension ref="A1"/>
  <sheetViews>
    <sheetView workbookViewId="0">
      <selection sqref="A1:C125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Esteban Montoya</dc:creator>
  <cp:lastModifiedBy>Esteban Montoya</cp:lastModifiedBy>
  <dcterms:created xsi:type="dcterms:W3CDTF">2023-11-08T07:08:07Z</dcterms:created>
  <dcterms:modified xsi:type="dcterms:W3CDTF">2023-11-08T09:01:56Z</dcterms:modified>
</cp:coreProperties>
</file>